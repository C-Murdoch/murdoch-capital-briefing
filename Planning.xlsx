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94926e2fbab97e/Documents/New Files/Murdoch Capital/Portfolio/"/>
    </mc:Choice>
  </mc:AlternateContent>
  <xr:revisionPtr revIDLastSave="5" documentId="8_{87D4D03A-737A-4837-9AEF-F98185742C1A}" xr6:coauthVersionLast="47" xr6:coauthVersionMax="47" xr10:uidLastSave="{014E3285-43DB-4569-8703-54F940F221F0}"/>
  <bookViews>
    <workbookView xWindow="0" yWindow="8" windowWidth="21600" windowHeight="12772" xr2:uid="{2AE8C152-F566-4787-B799-6516F4E61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E15" i="1"/>
  <c r="D6" i="1"/>
  <c r="D7" i="1"/>
  <c r="D8" i="1"/>
  <c r="D9" i="1"/>
  <c r="D10" i="1"/>
  <c r="D11" i="1"/>
  <c r="D12" i="1"/>
  <c r="D13" i="1"/>
  <c r="D5" i="1"/>
</calcChain>
</file>

<file path=xl/sharedStrings.xml><?xml version="1.0" encoding="utf-8"?>
<sst xmlns="http://schemas.openxmlformats.org/spreadsheetml/2006/main" count="27" uniqueCount="27">
  <si>
    <t>Company</t>
  </si>
  <si>
    <t>Ticker</t>
  </si>
  <si>
    <t>Weight</t>
  </si>
  <si>
    <t>ASML Holdings</t>
  </si>
  <si>
    <t>ASML</t>
  </si>
  <si>
    <t>Broadcom</t>
  </si>
  <si>
    <t>AVGO</t>
  </si>
  <si>
    <t>Constellation Software</t>
  </si>
  <si>
    <t>CSU</t>
  </si>
  <si>
    <t>Novo Nordisk</t>
  </si>
  <si>
    <t>NOVO-B</t>
  </si>
  <si>
    <t>Hermes International</t>
  </si>
  <si>
    <t>RMS</t>
  </si>
  <si>
    <t>Topicus.com</t>
  </si>
  <si>
    <t>TOI</t>
  </si>
  <si>
    <t>Brookfield Asset Management</t>
  </si>
  <si>
    <t>BAM</t>
  </si>
  <si>
    <t>ARM</t>
  </si>
  <si>
    <t>ARM Holdings</t>
  </si>
  <si>
    <t>Ferrari</t>
  </si>
  <si>
    <t>RACE</t>
  </si>
  <si>
    <t>Cash</t>
  </si>
  <si>
    <t>N/A</t>
  </si>
  <si>
    <t>Portfolio Value</t>
  </si>
  <si>
    <t>POS</t>
  </si>
  <si>
    <t>Tesla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</si>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</sst>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£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DCE7-6F1F-4EF0-BACD-4B4B2655DC00}">
  <dimension ref="B2:E15"/>
  <sheetViews>
    <sheetView tabSelected="1" workbookViewId="0">
      <selection activeCell="E19" sqref="E19"/>
    </sheetView>
  </sheetViews>
  <sheetFormatPr defaultRowHeight="14.25" x14ac:dyDescent="0.45"/>
  <cols>
    <col min="2" max="2" width="23.9296875" bestFit="1" customWidth="1"/>
    <col min="5" max="5" width="6.73046875" bestFit="1" customWidth="1"/>
  </cols>
  <sheetData>
    <row r="2" spans="2:5" x14ac:dyDescent="0.45">
      <c r="B2" t="s">
        <v>23</v>
      </c>
      <c r="C2" s="1">
        <v>5000</v>
      </c>
    </row>
    <row r="4" spans="2:5" x14ac:dyDescent="0.45">
      <c r="B4" s="2" t="s">
        <v>0</v>
      </c>
      <c r="C4" s="2" t="s">
        <v>1</v>
      </c>
      <c r="D4" s="2" t="s">
        <v>24</v>
      </c>
      <c r="E4" s="2" t="s">
        <v>2</v>
      </c>
    </row>
    <row r="5" spans="2:5" x14ac:dyDescent="0.45">
      <c r="B5" s="2" t="s">
        <v>3</v>
      </c>
      <c r="C5" s="2" t="s">
        <v>4</v>
      </c>
      <c r="D5" s="3">
        <f>$C$2*E5</f>
        <v>800</v>
      </c>
      <c r="E5" s="4">
        <v>0.16</v>
      </c>
    </row>
    <row r="6" spans="2:5" x14ac:dyDescent="0.45">
      <c r="B6" s="2" t="s">
        <v>5</v>
      </c>
      <c r="C6" s="2" t="s">
        <v>6</v>
      </c>
      <c r="D6" s="3">
        <f t="shared" ref="D6:D15" si="0">$C$2*E6</f>
        <v>700.00000000000011</v>
      </c>
      <c r="E6" s="4">
        <v>0.14000000000000001</v>
      </c>
    </row>
    <row r="7" spans="2:5" x14ac:dyDescent="0.45">
      <c r="B7" s="2" t="s">
        <v>7</v>
      </c>
      <c r="C7" s="2" t="s">
        <v>8</v>
      </c>
      <c r="D7" s="3">
        <f t="shared" si="0"/>
        <v>600</v>
      </c>
      <c r="E7" s="4">
        <v>0.12</v>
      </c>
    </row>
    <row r="8" spans="2:5" x14ac:dyDescent="0.45">
      <c r="B8" s="2" t="s">
        <v>9</v>
      </c>
      <c r="C8" s="2" t="s">
        <v>10</v>
      </c>
      <c r="D8" s="3">
        <f t="shared" si="0"/>
        <v>500</v>
      </c>
      <c r="E8" s="4">
        <v>0.1</v>
      </c>
    </row>
    <row r="9" spans="2:5" x14ac:dyDescent="0.45">
      <c r="B9" s="2" t="s">
        <v>11</v>
      </c>
      <c r="C9" s="2" t="s">
        <v>12</v>
      </c>
      <c r="D9" s="3">
        <f t="shared" si="0"/>
        <v>500</v>
      </c>
      <c r="E9" s="4">
        <v>0.1</v>
      </c>
    </row>
    <row r="10" spans="2:5" x14ac:dyDescent="0.45">
      <c r="B10" s="2" t="s">
        <v>13</v>
      </c>
      <c r="C10" s="2" t="s">
        <v>14</v>
      </c>
      <c r="D10" s="3">
        <f t="shared" si="0"/>
        <v>450</v>
      </c>
      <c r="E10" s="4">
        <v>0.09</v>
      </c>
    </row>
    <row r="11" spans="2:5" x14ac:dyDescent="0.45">
      <c r="B11" s="2" t="s">
        <v>15</v>
      </c>
      <c r="C11" s="2" t="s">
        <v>16</v>
      </c>
      <c r="D11" s="3">
        <f t="shared" si="0"/>
        <v>400</v>
      </c>
      <c r="E11" s="4">
        <v>0.08</v>
      </c>
    </row>
    <row r="12" spans="2:5" x14ac:dyDescent="0.45">
      <c r="B12" s="2" t="s">
        <v>18</v>
      </c>
      <c r="C12" s="2" t="s">
        <v>17</v>
      </c>
      <c r="D12" s="3">
        <f t="shared" si="0"/>
        <v>350.00000000000006</v>
      </c>
      <c r="E12" s="4">
        <v>7.0000000000000007E-2</v>
      </c>
    </row>
    <row r="13" spans="2:5" x14ac:dyDescent="0.45">
      <c r="B13" s="2" t="s">
        <v>19</v>
      </c>
      <c r="C13" s="2" t="s">
        <v>20</v>
      </c>
      <c r="D13" s="3">
        <f t="shared" si="0"/>
        <v>300</v>
      </c>
      <c r="E13" s="4">
        <v>0.06</v>
      </c>
    </row>
    <row r="14" spans="2:5" x14ac:dyDescent="0.45">
      <c r="B14" s="2" t="s">
        <v>25</v>
      </c>
      <c r="C14" s="2" t="s">
        <v>26</v>
      </c>
      <c r="D14" s="3">
        <f t="shared" si="0"/>
        <v>250</v>
      </c>
      <c r="E14" s="4">
        <v>0.05</v>
      </c>
    </row>
    <row r="15" spans="2:5" x14ac:dyDescent="0.45">
      <c r="B15" s="2" t="s">
        <v>21</v>
      </c>
      <c r="C15" s="2" t="s">
        <v>22</v>
      </c>
      <c r="D15" s="3">
        <f t="shared" si="0"/>
        <v>400.00000000000034</v>
      </c>
      <c r="E15" s="4">
        <f>1-(SUM(E5:E13))</f>
        <v>8.0000000000000071E-2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Murdoch</dc:creator>
  <cp:lastModifiedBy>Cameron Murdoch</cp:lastModifiedBy>
  <cp:lastPrinted>2026-03-05T20:58:42Z</cp:lastPrinted>
  <dcterms:created xsi:type="dcterms:W3CDTF">2026-03-05T20:52:09Z</dcterms:created>
  <dcterms:modified xsi:type="dcterms:W3CDTF">2026-03-05T21:32:23Z</dcterms:modified>
</cp:coreProperties>
</file>